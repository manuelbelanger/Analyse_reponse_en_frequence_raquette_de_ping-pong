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\OneDrive\Documents\INSA\Troisième année\S2\PIAE\Projet\"/>
    </mc:Choice>
  </mc:AlternateContent>
  <xr:revisionPtr revIDLastSave="0" documentId="13_ncr:1_{0B6D4C8B-622B-47F6-BC7E-1EE7F8B17738}" xr6:coauthVersionLast="47" xr6:coauthVersionMax="47" xr10:uidLastSave="{00000000-0000-0000-0000-000000000000}"/>
  <bookViews>
    <workbookView xWindow="-108" yWindow="-108" windowWidth="23256" windowHeight="12456" firstSheet="3" activeTab="3" xr2:uid="{2163C841-2A9D-4C4B-A6E6-0EBEF1DD5EE2}"/>
  </bookViews>
  <sheets>
    <sheet name="Raquette 1" sheetId="5" r:id="rId1"/>
    <sheet name="Raquette 2" sheetId="1" r:id="rId2"/>
    <sheet name="Raquette 3" sheetId="2" r:id="rId3"/>
    <sheet name="Raquette 4" sheetId="3" r:id="rId4"/>
    <sheet name="Raquette 5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4" i="1" l="1"/>
  <c r="I14" i="1"/>
  <c r="H15" i="1"/>
  <c r="I15" i="1"/>
  <c r="G16" i="4"/>
  <c r="F16" i="4"/>
  <c r="E16" i="4"/>
  <c r="D16" i="4"/>
  <c r="C16" i="4"/>
  <c r="B16" i="4"/>
  <c r="G15" i="4"/>
  <c r="F15" i="4"/>
  <c r="E15" i="4"/>
  <c r="D15" i="4"/>
  <c r="C15" i="4"/>
  <c r="B15" i="4"/>
  <c r="E15" i="3"/>
  <c r="D15" i="3"/>
  <c r="C15" i="3"/>
  <c r="B15" i="3"/>
  <c r="E14" i="3"/>
  <c r="D14" i="3"/>
  <c r="C14" i="3"/>
  <c r="B14" i="3"/>
  <c r="I15" i="2"/>
  <c r="H15" i="2"/>
  <c r="G15" i="2"/>
  <c r="F15" i="2"/>
  <c r="E15" i="2"/>
  <c r="D15" i="2"/>
  <c r="C15" i="2"/>
  <c r="B15" i="2"/>
  <c r="I14" i="2"/>
  <c r="H14" i="2"/>
  <c r="G14" i="2"/>
  <c r="F14" i="2"/>
  <c r="E14" i="2"/>
  <c r="D14" i="2"/>
  <c r="C14" i="2"/>
  <c r="B14" i="2"/>
  <c r="H14" i="5"/>
  <c r="I14" i="5"/>
  <c r="H15" i="5"/>
  <c r="I15" i="5"/>
  <c r="B14" i="5"/>
  <c r="G15" i="5"/>
  <c r="F15" i="5"/>
  <c r="E15" i="5"/>
  <c r="D15" i="5"/>
  <c r="C15" i="5"/>
  <c r="B15" i="5"/>
  <c r="G14" i="5"/>
  <c r="F14" i="5"/>
  <c r="E14" i="5"/>
  <c r="D14" i="5"/>
  <c r="C14" i="5"/>
  <c r="C15" i="1"/>
  <c r="D15" i="1"/>
  <c r="E15" i="1"/>
  <c r="F15" i="1"/>
  <c r="G15" i="1"/>
  <c r="B15" i="1"/>
  <c r="C14" i="1"/>
  <c r="D14" i="1"/>
  <c r="E14" i="1"/>
  <c r="F14" i="1"/>
  <c r="G14" i="1"/>
  <c r="B14" i="1"/>
</calcChain>
</file>

<file path=xl/sharedStrings.xml><?xml version="1.0" encoding="utf-8"?>
<sst xmlns="http://schemas.openxmlformats.org/spreadsheetml/2006/main" count="51" uniqueCount="11">
  <si>
    <t>Essai</t>
  </si>
  <si>
    <t>Mode1_acc</t>
  </si>
  <si>
    <t>Mode1_mic</t>
  </si>
  <si>
    <t>Mode4_acc</t>
  </si>
  <si>
    <t>Mode4_mic</t>
  </si>
  <si>
    <t>Mode6_acc</t>
  </si>
  <si>
    <t>Mode6_mic</t>
  </si>
  <si>
    <t>Mode7_acc</t>
  </si>
  <si>
    <t>Mode7_mic</t>
  </si>
  <si>
    <t>moyenne</t>
  </si>
  <si>
    <t>ecart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</si>
</sst>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0C90A-25F9-4372-850E-D636147FBCC8}">
  <dimension ref="A2:K15"/>
  <sheetViews>
    <sheetView workbookViewId="0">
      <selection activeCell="F26" sqref="F26"/>
    </sheetView>
  </sheetViews>
  <sheetFormatPr baseColWidth="10" defaultRowHeight="14.4" x14ac:dyDescent="0.3"/>
  <sheetData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11" x14ac:dyDescent="0.3">
      <c r="A3">
        <v>1</v>
      </c>
      <c r="B3">
        <v>92.5</v>
      </c>
      <c r="C3">
        <v>93</v>
      </c>
      <c r="D3">
        <v>561</v>
      </c>
      <c r="E3">
        <v>562</v>
      </c>
      <c r="F3">
        <v>1137.5</v>
      </c>
      <c r="G3">
        <v>1137.5</v>
      </c>
      <c r="H3">
        <v>1402</v>
      </c>
      <c r="I3">
        <v>1382</v>
      </c>
    </row>
    <row r="4" spans="1:11" x14ac:dyDescent="0.3">
      <c r="A4">
        <v>2</v>
      </c>
      <c r="B4">
        <v>92</v>
      </c>
      <c r="C4">
        <v>92</v>
      </c>
      <c r="D4">
        <v>562</v>
      </c>
      <c r="E4">
        <v>561.5</v>
      </c>
      <c r="F4">
        <v>1132.5</v>
      </c>
      <c r="G4">
        <v>1135</v>
      </c>
      <c r="H4">
        <v>1405</v>
      </c>
      <c r="I4">
        <v>1380</v>
      </c>
    </row>
    <row r="5" spans="1:11" x14ac:dyDescent="0.3">
      <c r="A5">
        <v>3</v>
      </c>
      <c r="B5">
        <v>92.5</v>
      </c>
      <c r="C5">
        <v>93</v>
      </c>
      <c r="E5">
        <v>562</v>
      </c>
      <c r="F5">
        <v>1138</v>
      </c>
      <c r="G5">
        <v>1138</v>
      </c>
      <c r="H5">
        <v>1402</v>
      </c>
      <c r="I5">
        <v>1380</v>
      </c>
    </row>
    <row r="14" spans="1:11" x14ac:dyDescent="0.3">
      <c r="A14" t="s">
        <v>9</v>
      </c>
      <c r="B14" s="1">
        <f>TRIMMEAN(B3:B12,0.1)</f>
        <v>92.333333333333329</v>
      </c>
      <c r="C14" s="1">
        <f t="shared" ref="C14:G14" si="0">TRIMMEAN(C3:C12,0.1)</f>
        <v>92.666666666666671</v>
      </c>
      <c r="D14" s="1">
        <f t="shared" si="0"/>
        <v>561.5</v>
      </c>
      <c r="E14" s="1">
        <f t="shared" si="0"/>
        <v>561.83333333333337</v>
      </c>
      <c r="F14" s="1">
        <f t="shared" si="0"/>
        <v>1136</v>
      </c>
      <c r="G14" s="1">
        <f t="shared" si="0"/>
        <v>1136.8333333333333</v>
      </c>
      <c r="H14" s="1">
        <f t="shared" ref="H14:K14" si="1">TRIMMEAN(H3:H12,0.1)</f>
        <v>1403</v>
      </c>
      <c r="I14" s="1">
        <f t="shared" si="1"/>
        <v>1380.6666666666667</v>
      </c>
      <c r="J14" s="1"/>
      <c r="K14" s="1"/>
    </row>
    <row r="15" spans="1:11" x14ac:dyDescent="0.3">
      <c r="A15" t="s">
        <v>10</v>
      </c>
      <c r="B15" s="1">
        <f>STDEV(B3:B12)</f>
        <v>0.28867513459481292</v>
      </c>
      <c r="C15" s="1">
        <f t="shared" ref="C15:G15" si="2">STDEV(C3:C12)</f>
        <v>0.57735026918962573</v>
      </c>
      <c r="D15" s="1">
        <f t="shared" si="2"/>
        <v>0.70710678118654757</v>
      </c>
      <c r="E15" s="1">
        <f t="shared" si="2"/>
        <v>0.28867513459481292</v>
      </c>
      <c r="F15" s="1">
        <f t="shared" si="2"/>
        <v>3.0413812651491097</v>
      </c>
      <c r="G15" s="1">
        <f t="shared" si="2"/>
        <v>1.607275126832159</v>
      </c>
      <c r="H15" s="1">
        <f t="shared" ref="H15:K15" si="3">STDEV(H3:H12)</f>
        <v>1.7320508075688772</v>
      </c>
      <c r="I15" s="1">
        <f t="shared" si="3"/>
        <v>1.1547005383792515</v>
      </c>
      <c r="J15" s="1"/>
      <c r="K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D19FC-F332-4833-9A2F-81793162E970}">
  <dimension ref="A2:I15"/>
  <sheetViews>
    <sheetView topLeftCell="B1" workbookViewId="0">
      <selection activeCell="G18" sqref="G18"/>
    </sheetView>
  </sheetViews>
  <sheetFormatPr baseColWidth="10" defaultRowHeight="14.4" x14ac:dyDescent="0.3"/>
  <sheetData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3">
      <c r="A3">
        <v>1</v>
      </c>
      <c r="B3">
        <v>64.5</v>
      </c>
      <c r="C3">
        <v>63.5</v>
      </c>
      <c r="D3">
        <v>456</v>
      </c>
      <c r="E3">
        <v>429</v>
      </c>
      <c r="G3">
        <v>1038</v>
      </c>
      <c r="H3">
        <v>1355.5</v>
      </c>
    </row>
    <row r="4" spans="1:9" x14ac:dyDescent="0.3">
      <c r="A4">
        <v>2</v>
      </c>
      <c r="B4">
        <v>62</v>
      </c>
      <c r="C4">
        <v>59</v>
      </c>
      <c r="F4">
        <v>1081</v>
      </c>
      <c r="G4">
        <v>1086.5</v>
      </c>
      <c r="H4">
        <v>1423.5</v>
      </c>
      <c r="I4">
        <v>1390.5</v>
      </c>
    </row>
    <row r="5" spans="1:9" x14ac:dyDescent="0.3">
      <c r="A5">
        <v>3</v>
      </c>
      <c r="B5">
        <v>63</v>
      </c>
      <c r="C5">
        <v>61</v>
      </c>
      <c r="G5">
        <v>1083.5</v>
      </c>
      <c r="H5">
        <v>1418</v>
      </c>
    </row>
    <row r="6" spans="1:9" x14ac:dyDescent="0.3">
      <c r="A6">
        <v>4</v>
      </c>
      <c r="B6">
        <v>63.5</v>
      </c>
      <c r="C6">
        <v>63</v>
      </c>
      <c r="F6">
        <v>1092</v>
      </c>
    </row>
    <row r="7" spans="1:9" x14ac:dyDescent="0.3">
      <c r="A7">
        <v>5</v>
      </c>
      <c r="B7">
        <v>65</v>
      </c>
      <c r="C7">
        <v>65</v>
      </c>
      <c r="D7">
        <v>436</v>
      </c>
      <c r="E7">
        <v>443</v>
      </c>
      <c r="F7">
        <v>1102.5</v>
      </c>
      <c r="G7">
        <v>1041.5</v>
      </c>
    </row>
    <row r="8" spans="1:9" x14ac:dyDescent="0.3">
      <c r="A8">
        <v>6</v>
      </c>
      <c r="B8">
        <v>64</v>
      </c>
      <c r="C8">
        <v>65</v>
      </c>
      <c r="F8">
        <v>1130.5</v>
      </c>
    </row>
    <row r="9" spans="1:9" x14ac:dyDescent="0.3">
      <c r="A9">
        <v>7</v>
      </c>
      <c r="B9">
        <v>63</v>
      </c>
      <c r="C9">
        <v>63.5</v>
      </c>
      <c r="E9">
        <v>446</v>
      </c>
      <c r="F9">
        <v>1105.5</v>
      </c>
      <c r="G9">
        <v>1037</v>
      </c>
    </row>
    <row r="10" spans="1:9" x14ac:dyDescent="0.3">
      <c r="A10">
        <v>8</v>
      </c>
      <c r="B10">
        <v>64</v>
      </c>
      <c r="C10">
        <v>64.5</v>
      </c>
      <c r="F10">
        <v>1143</v>
      </c>
      <c r="G10">
        <v>1036</v>
      </c>
    </row>
    <row r="11" spans="1:9" x14ac:dyDescent="0.3">
      <c r="A11">
        <v>9</v>
      </c>
      <c r="B11">
        <v>64.5</v>
      </c>
      <c r="C11">
        <v>64.5</v>
      </c>
      <c r="D11">
        <v>520.5</v>
      </c>
      <c r="F11">
        <v>1147.5</v>
      </c>
      <c r="G11">
        <v>1040.5</v>
      </c>
    </row>
    <row r="12" spans="1:9" x14ac:dyDescent="0.3">
      <c r="A12">
        <v>10</v>
      </c>
      <c r="B12">
        <v>64.5</v>
      </c>
      <c r="C12">
        <v>65.5</v>
      </c>
      <c r="F12">
        <v>1108</v>
      </c>
      <c r="G12">
        <v>1035.5</v>
      </c>
    </row>
    <row r="14" spans="1:9" x14ac:dyDescent="0.3">
      <c r="A14" t="s">
        <v>9</v>
      </c>
      <c r="B14" s="1">
        <f>TRIMMEAN(B3:B12,0.1)</f>
        <v>63.8</v>
      </c>
      <c r="C14" s="1">
        <f t="shared" ref="C14:E14" si="0">TRIMMEAN(C3:C12,0.1)</f>
        <v>63.45</v>
      </c>
      <c r="D14" s="1">
        <f t="shared" si="0"/>
        <v>470.83333333333331</v>
      </c>
      <c r="E14" s="1">
        <f t="shared" si="0"/>
        <v>439.33333333333331</v>
      </c>
      <c r="F14" s="1">
        <f>TRIMMEAN(F3:F12,0.1)</f>
        <v>1113.75</v>
      </c>
      <c r="G14" s="1">
        <f>TRIMMEAN(G3:G12,0.1)</f>
        <v>1049.8125</v>
      </c>
      <c r="H14" s="1">
        <f t="shared" ref="H14:I14" si="1">TRIMMEAN(H3:H12,0.1)</f>
        <v>1399</v>
      </c>
      <c r="I14" s="1">
        <f t="shared" si="1"/>
        <v>1390.5</v>
      </c>
    </row>
    <row r="15" spans="1:9" x14ac:dyDescent="0.3">
      <c r="A15" t="s">
        <v>10</v>
      </c>
      <c r="B15" s="1">
        <f>STDEV(B3:B12)</f>
        <v>0.91893658347268137</v>
      </c>
      <c r="C15" s="1">
        <f t="shared" ref="C15:E15" si="2">STDEV(C3:C12)</f>
        <v>2.0337431281042133</v>
      </c>
      <c r="D15" s="1">
        <f t="shared" si="2"/>
        <v>44.159747885753752</v>
      </c>
      <c r="E15" s="1">
        <f t="shared" si="2"/>
        <v>9.0737717258774673</v>
      </c>
      <c r="F15" s="1">
        <f>STDEV(F3:F12)</f>
        <v>24.04905700556974</v>
      </c>
      <c r="G15" s="1">
        <f>STDEV(G3:G12)</f>
        <v>21.830413745179321</v>
      </c>
      <c r="H15" s="1">
        <f t="shared" ref="H15:I15" si="3">STDEV(H3:H12)</f>
        <v>37.772344380512045</v>
      </c>
      <c r="I15" s="1" t="e">
        <f t="shared" si="3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45018-2318-44A9-94CD-D38581590DA2}">
  <dimension ref="A2:K15"/>
  <sheetViews>
    <sheetView workbookViewId="0">
      <selection activeCell="I19" sqref="I19"/>
    </sheetView>
  </sheetViews>
  <sheetFormatPr baseColWidth="10" defaultRowHeight="14.4" x14ac:dyDescent="0.3"/>
  <sheetData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11" x14ac:dyDescent="0.3">
      <c r="A3">
        <v>1</v>
      </c>
      <c r="B3">
        <v>68</v>
      </c>
      <c r="C3">
        <v>69.5</v>
      </c>
      <c r="D3">
        <v>417</v>
      </c>
      <c r="E3">
        <v>415.5</v>
      </c>
      <c r="F3">
        <v>796.5</v>
      </c>
      <c r="G3">
        <v>799</v>
      </c>
      <c r="H3">
        <v>984.5</v>
      </c>
    </row>
    <row r="4" spans="1:11" x14ac:dyDescent="0.3">
      <c r="A4">
        <v>2</v>
      </c>
      <c r="B4">
        <v>67</v>
      </c>
      <c r="C4">
        <v>67.5</v>
      </c>
      <c r="D4">
        <v>419</v>
      </c>
      <c r="E4">
        <v>415.5</v>
      </c>
      <c r="F4">
        <v>795</v>
      </c>
      <c r="G4">
        <v>798.5</v>
      </c>
      <c r="H4">
        <v>984</v>
      </c>
    </row>
    <row r="5" spans="1:11" x14ac:dyDescent="0.3">
      <c r="A5">
        <v>3</v>
      </c>
      <c r="B5">
        <v>68</v>
      </c>
      <c r="C5">
        <v>68.5</v>
      </c>
      <c r="D5">
        <v>417</v>
      </c>
      <c r="E5">
        <v>416</v>
      </c>
      <c r="F5">
        <v>797</v>
      </c>
      <c r="G5">
        <v>799.5</v>
      </c>
      <c r="H5">
        <v>984.5</v>
      </c>
    </row>
    <row r="6" spans="1:11" x14ac:dyDescent="0.3">
      <c r="A6">
        <v>4</v>
      </c>
      <c r="B6">
        <v>65.5</v>
      </c>
      <c r="C6">
        <v>65.5</v>
      </c>
      <c r="D6">
        <v>413</v>
      </c>
      <c r="E6">
        <v>412.5</v>
      </c>
      <c r="F6">
        <v>831</v>
      </c>
      <c r="G6">
        <v>758</v>
      </c>
      <c r="H6">
        <v>980</v>
      </c>
      <c r="I6">
        <v>979</v>
      </c>
    </row>
    <row r="7" spans="1:11" x14ac:dyDescent="0.3">
      <c r="A7">
        <v>5</v>
      </c>
      <c r="B7">
        <v>67</v>
      </c>
      <c r="C7">
        <v>66.5</v>
      </c>
      <c r="D7">
        <v>418.5</v>
      </c>
      <c r="E7">
        <v>415.5</v>
      </c>
      <c r="F7">
        <v>795</v>
      </c>
      <c r="G7">
        <v>797.5</v>
      </c>
      <c r="H7">
        <v>983.5</v>
      </c>
    </row>
    <row r="8" spans="1:11" x14ac:dyDescent="0.3">
      <c r="A8">
        <v>6</v>
      </c>
      <c r="B8">
        <v>66.5</v>
      </c>
      <c r="C8">
        <v>66.5</v>
      </c>
      <c r="D8">
        <v>461.5</v>
      </c>
      <c r="E8">
        <v>440.5</v>
      </c>
      <c r="F8">
        <v>794</v>
      </c>
      <c r="G8">
        <v>799.5</v>
      </c>
      <c r="H8">
        <v>983</v>
      </c>
    </row>
    <row r="9" spans="1:11" x14ac:dyDescent="0.3">
      <c r="A9">
        <v>7</v>
      </c>
      <c r="B9">
        <v>66</v>
      </c>
      <c r="C9">
        <v>66.5</v>
      </c>
      <c r="D9">
        <v>408.5</v>
      </c>
      <c r="E9">
        <v>409.5</v>
      </c>
      <c r="F9">
        <v>797</v>
      </c>
      <c r="G9">
        <v>800</v>
      </c>
      <c r="H9">
        <v>984</v>
      </c>
    </row>
    <row r="10" spans="1:11" x14ac:dyDescent="0.3">
      <c r="A10">
        <v>8</v>
      </c>
      <c r="B10">
        <v>66.5</v>
      </c>
      <c r="C10">
        <v>66.5</v>
      </c>
      <c r="D10">
        <v>410.5</v>
      </c>
      <c r="E10">
        <v>412</v>
      </c>
      <c r="F10">
        <v>795.5</v>
      </c>
      <c r="G10">
        <v>798</v>
      </c>
    </row>
    <row r="11" spans="1:11" x14ac:dyDescent="0.3">
      <c r="A11">
        <v>9</v>
      </c>
      <c r="B11">
        <v>67</v>
      </c>
      <c r="C11">
        <v>68</v>
      </c>
      <c r="D11">
        <v>418.5</v>
      </c>
      <c r="E11">
        <v>415.5</v>
      </c>
      <c r="F11">
        <v>795.5</v>
      </c>
      <c r="G11">
        <v>798.5</v>
      </c>
      <c r="H11">
        <v>984</v>
      </c>
    </row>
    <row r="12" spans="1:11" x14ac:dyDescent="0.3">
      <c r="A12">
        <v>10</v>
      </c>
      <c r="B12">
        <v>67</v>
      </c>
      <c r="C12">
        <v>67.5</v>
      </c>
      <c r="D12">
        <v>420</v>
      </c>
      <c r="E12">
        <v>416</v>
      </c>
      <c r="F12">
        <v>795.5</v>
      </c>
      <c r="G12">
        <v>798</v>
      </c>
      <c r="H12">
        <v>984.5</v>
      </c>
    </row>
    <row r="14" spans="1:11" x14ac:dyDescent="0.3">
      <c r="A14" t="s">
        <v>9</v>
      </c>
      <c r="B14" s="1">
        <f>TRIMMEAN(B3:B12,0.1)</f>
        <v>66.849999999999994</v>
      </c>
      <c r="C14" s="1">
        <f t="shared" ref="C14:K14" si="0">TRIMMEAN(C3:C12,0.1)</f>
        <v>67.25</v>
      </c>
      <c r="D14" s="1">
        <f t="shared" si="0"/>
        <v>420.35</v>
      </c>
      <c r="E14" s="1">
        <f t="shared" si="0"/>
        <v>416.85</v>
      </c>
      <c r="F14" s="1">
        <f t="shared" si="0"/>
        <v>799.2</v>
      </c>
      <c r="G14" s="1">
        <f t="shared" si="0"/>
        <v>794.65</v>
      </c>
      <c r="H14" s="1">
        <f t="shared" si="0"/>
        <v>983.55555555555554</v>
      </c>
      <c r="I14" s="1">
        <f t="shared" si="0"/>
        <v>979</v>
      </c>
      <c r="J14" s="1"/>
      <c r="K14" s="1"/>
    </row>
    <row r="15" spans="1:11" x14ac:dyDescent="0.3">
      <c r="A15" t="s">
        <v>10</v>
      </c>
      <c r="B15" s="1">
        <f>STDEV(B3:B12)</f>
        <v>0.7835106182362106</v>
      </c>
      <c r="C15" s="1">
        <f t="shared" ref="C15:K15" si="1">STDEV(C3:C12)</f>
        <v>1.1843892002959913</v>
      </c>
      <c r="D15" s="1">
        <f t="shared" si="1"/>
        <v>14.966722345850403</v>
      </c>
      <c r="E15" s="1">
        <f t="shared" si="1"/>
        <v>8.592794138760171</v>
      </c>
      <c r="F15" s="1">
        <f t="shared" si="1"/>
        <v>11.21308759144123</v>
      </c>
      <c r="G15" s="1">
        <f t="shared" si="1"/>
        <v>12.901442641124371</v>
      </c>
      <c r="H15" s="1">
        <f t="shared" si="1"/>
        <v>1.4240006242195886</v>
      </c>
      <c r="I15" s="1" t="e">
        <f t="shared" si="1"/>
        <v>#DIV/0!</v>
      </c>
      <c r="J15" s="1"/>
      <c r="K1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047F-D68C-4AEF-AA13-F5A75D0CA186}">
  <dimension ref="A2:K15"/>
  <sheetViews>
    <sheetView tabSelected="1" workbookViewId="0">
      <selection activeCell="H19" sqref="H19"/>
    </sheetView>
  </sheetViews>
  <sheetFormatPr baseColWidth="10" defaultRowHeight="14.4" x14ac:dyDescent="0.3"/>
  <sheetData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11" x14ac:dyDescent="0.3">
      <c r="A3">
        <v>1</v>
      </c>
      <c r="B3">
        <v>38</v>
      </c>
      <c r="C3">
        <v>38</v>
      </c>
    </row>
    <row r="4" spans="1:11" x14ac:dyDescent="0.3">
      <c r="A4">
        <v>2</v>
      </c>
      <c r="B4">
        <v>38</v>
      </c>
      <c r="C4">
        <v>39.5</v>
      </c>
    </row>
    <row r="5" spans="1:11" x14ac:dyDescent="0.3">
      <c r="A5">
        <v>3</v>
      </c>
      <c r="B5">
        <v>37.5</v>
      </c>
      <c r="C5">
        <v>37.5</v>
      </c>
      <c r="E5">
        <v>319</v>
      </c>
    </row>
    <row r="6" spans="1:11" x14ac:dyDescent="0.3">
      <c r="A6">
        <v>4</v>
      </c>
      <c r="B6">
        <v>37.5</v>
      </c>
      <c r="C6">
        <v>38.5</v>
      </c>
      <c r="E6">
        <v>323</v>
      </c>
    </row>
    <row r="7" spans="1:11" x14ac:dyDescent="0.3">
      <c r="A7">
        <v>5</v>
      </c>
      <c r="B7">
        <v>36</v>
      </c>
      <c r="C7">
        <v>38</v>
      </c>
      <c r="E7">
        <v>398</v>
      </c>
    </row>
    <row r="8" spans="1:11" x14ac:dyDescent="0.3">
      <c r="A8">
        <v>6</v>
      </c>
      <c r="B8">
        <v>38.5</v>
      </c>
      <c r="C8">
        <v>39.5</v>
      </c>
    </row>
    <row r="9" spans="1:11" x14ac:dyDescent="0.3">
      <c r="A9">
        <v>7</v>
      </c>
      <c r="B9">
        <v>37.5</v>
      </c>
      <c r="C9">
        <v>38</v>
      </c>
      <c r="E9">
        <v>313.5</v>
      </c>
    </row>
    <row r="10" spans="1:11" x14ac:dyDescent="0.3">
      <c r="A10">
        <v>8</v>
      </c>
      <c r="B10">
        <v>38.5</v>
      </c>
      <c r="C10">
        <v>39.5</v>
      </c>
      <c r="E10">
        <v>323</v>
      </c>
    </row>
    <row r="11" spans="1:11" x14ac:dyDescent="0.3">
      <c r="A11">
        <v>9</v>
      </c>
      <c r="B11">
        <v>38.5</v>
      </c>
      <c r="C11">
        <v>38.5</v>
      </c>
      <c r="D11">
        <v>399</v>
      </c>
      <c r="E11">
        <v>417</v>
      </c>
    </row>
    <row r="12" spans="1:11" x14ac:dyDescent="0.3">
      <c r="A12">
        <v>10</v>
      </c>
      <c r="B12">
        <v>38.5</v>
      </c>
      <c r="C12">
        <v>38.5</v>
      </c>
      <c r="E12">
        <v>321.5</v>
      </c>
    </row>
    <row r="14" spans="1:11" x14ac:dyDescent="0.3">
      <c r="A14" t="s">
        <v>9</v>
      </c>
      <c r="B14" s="1">
        <f>TRIMMEAN(B3:B12,0.1)</f>
        <v>37.85</v>
      </c>
      <c r="C14" s="1">
        <f t="shared" ref="C14:E14" si="0">TRIMMEAN(C3:C12,0.1)</f>
        <v>38.549999999999997</v>
      </c>
      <c r="D14" s="1">
        <f t="shared" si="0"/>
        <v>399</v>
      </c>
      <c r="E14" s="1">
        <f t="shared" si="0"/>
        <v>345</v>
      </c>
      <c r="H14" s="1"/>
      <c r="I14" s="1"/>
      <c r="J14" s="1"/>
      <c r="K14" s="1"/>
    </row>
    <row r="15" spans="1:11" x14ac:dyDescent="0.3">
      <c r="A15" t="s">
        <v>10</v>
      </c>
      <c r="B15" s="1">
        <f>STDEV(B3:B12)</f>
        <v>0.78351061823621071</v>
      </c>
      <c r="C15" s="1">
        <f t="shared" ref="C15:E15" si="1">STDEV(C3:C12)</f>
        <v>0.72456883730947186</v>
      </c>
      <c r="D15" s="1" t="e">
        <f t="shared" si="1"/>
        <v>#DIV/0!</v>
      </c>
      <c r="E15" s="1">
        <f t="shared" si="1"/>
        <v>43.169240592502128</v>
      </c>
      <c r="H15" s="1"/>
      <c r="I15" s="1"/>
      <c r="J15" s="1"/>
      <c r="K1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40575-C7B1-4639-A96B-A68318682557}">
  <dimension ref="A2:I16"/>
  <sheetViews>
    <sheetView workbookViewId="0">
      <selection activeCell="I19" sqref="I19"/>
    </sheetView>
  </sheetViews>
  <sheetFormatPr baseColWidth="10" defaultRowHeight="14.4" x14ac:dyDescent="0.3"/>
  <sheetData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3">
      <c r="A3">
        <v>1</v>
      </c>
      <c r="B3">
        <v>65.5</v>
      </c>
      <c r="C3">
        <v>64.5</v>
      </c>
      <c r="D3">
        <v>445</v>
      </c>
      <c r="E3">
        <v>445</v>
      </c>
      <c r="F3">
        <v>929</v>
      </c>
      <c r="G3">
        <v>930.5</v>
      </c>
    </row>
    <row r="4" spans="1:9" x14ac:dyDescent="0.3">
      <c r="A4">
        <v>2</v>
      </c>
      <c r="B4">
        <v>65.5</v>
      </c>
      <c r="C4">
        <v>65.5</v>
      </c>
      <c r="D4">
        <v>444.5</v>
      </c>
      <c r="E4">
        <v>444.5</v>
      </c>
      <c r="F4">
        <v>928.5</v>
      </c>
      <c r="G4">
        <v>929</v>
      </c>
    </row>
    <row r="5" spans="1:9" x14ac:dyDescent="0.3">
      <c r="A5">
        <v>3</v>
      </c>
      <c r="B5">
        <v>65.5</v>
      </c>
      <c r="C5">
        <v>64.5</v>
      </c>
      <c r="D5">
        <v>444.5</v>
      </c>
      <c r="E5">
        <v>444.5</v>
      </c>
      <c r="F5">
        <v>928.5</v>
      </c>
      <c r="G5">
        <v>930</v>
      </c>
    </row>
    <row r="6" spans="1:9" x14ac:dyDescent="0.3">
      <c r="A6">
        <v>4</v>
      </c>
      <c r="B6">
        <v>66.5</v>
      </c>
      <c r="C6">
        <v>65</v>
      </c>
      <c r="D6">
        <v>443.5</v>
      </c>
      <c r="E6">
        <v>443.5</v>
      </c>
      <c r="F6">
        <v>929</v>
      </c>
      <c r="G6">
        <v>929.5</v>
      </c>
    </row>
    <row r="7" spans="1:9" x14ac:dyDescent="0.3">
      <c r="A7">
        <v>5</v>
      </c>
      <c r="B7">
        <v>65</v>
      </c>
      <c r="C7">
        <v>64</v>
      </c>
      <c r="D7">
        <v>446</v>
      </c>
      <c r="E7">
        <v>446</v>
      </c>
      <c r="F7">
        <v>927.5</v>
      </c>
      <c r="G7">
        <v>930</v>
      </c>
    </row>
    <row r="8" spans="1:9" x14ac:dyDescent="0.3">
      <c r="A8">
        <v>6</v>
      </c>
      <c r="B8">
        <v>64</v>
      </c>
      <c r="C8">
        <v>62.5</v>
      </c>
      <c r="D8">
        <v>443</v>
      </c>
      <c r="E8">
        <v>443</v>
      </c>
      <c r="F8">
        <v>927</v>
      </c>
      <c r="G8">
        <v>929</v>
      </c>
    </row>
    <row r="9" spans="1:9" x14ac:dyDescent="0.3">
      <c r="A9">
        <v>7</v>
      </c>
      <c r="B9">
        <v>64.5</v>
      </c>
      <c r="C9">
        <v>65.5</v>
      </c>
      <c r="D9">
        <v>443.5</v>
      </c>
      <c r="E9">
        <v>443.5</v>
      </c>
      <c r="F9">
        <v>924.5</v>
      </c>
      <c r="G9">
        <v>929</v>
      </c>
    </row>
    <row r="10" spans="1:9" x14ac:dyDescent="0.3">
      <c r="A10">
        <v>8</v>
      </c>
      <c r="B10">
        <v>65.5</v>
      </c>
      <c r="C10">
        <v>64</v>
      </c>
      <c r="D10">
        <v>443.5</v>
      </c>
      <c r="E10">
        <v>443.5</v>
      </c>
      <c r="F10">
        <v>927.5</v>
      </c>
      <c r="G10">
        <v>929</v>
      </c>
    </row>
    <row r="11" spans="1:9" x14ac:dyDescent="0.3">
      <c r="A11">
        <v>9</v>
      </c>
      <c r="B11">
        <v>63.5</v>
      </c>
      <c r="C11">
        <v>63</v>
      </c>
      <c r="F11">
        <v>922.5</v>
      </c>
      <c r="G11">
        <v>926</v>
      </c>
    </row>
    <row r="12" spans="1:9" x14ac:dyDescent="0.3">
      <c r="A12">
        <v>10</v>
      </c>
      <c r="B12">
        <v>65.5</v>
      </c>
      <c r="C12">
        <v>62.5</v>
      </c>
      <c r="D12">
        <v>443.5</v>
      </c>
      <c r="E12">
        <v>443.5</v>
      </c>
      <c r="F12">
        <v>927.5</v>
      </c>
      <c r="G12">
        <v>929</v>
      </c>
    </row>
    <row r="13" spans="1:9" x14ac:dyDescent="0.3">
      <c r="A13">
        <v>11</v>
      </c>
      <c r="B13">
        <v>64.5</v>
      </c>
      <c r="C13">
        <v>65</v>
      </c>
      <c r="D13">
        <v>443.5</v>
      </c>
      <c r="E13">
        <v>443.5</v>
      </c>
      <c r="F13">
        <v>927</v>
      </c>
      <c r="G13">
        <v>931</v>
      </c>
    </row>
    <row r="15" spans="1:9" x14ac:dyDescent="0.3">
      <c r="A15" t="s">
        <v>9</v>
      </c>
      <c r="B15" s="1">
        <f>TRIMMEAN(B4:B13,0.1)</f>
        <v>65</v>
      </c>
      <c r="C15" s="1">
        <f t="shared" ref="C15:E15" si="0">TRIMMEAN(C4:C13,0.1)</f>
        <v>64.150000000000006</v>
      </c>
      <c r="D15" s="1">
        <f t="shared" si="0"/>
        <v>443.94444444444446</v>
      </c>
      <c r="E15" s="1">
        <f t="shared" si="0"/>
        <v>443.94444444444446</v>
      </c>
      <c r="F15" s="1">
        <f>TRIMMEAN(F4:F13,0.1)</f>
        <v>926.95</v>
      </c>
      <c r="G15" s="1">
        <f>TRIMMEAN(G4:G13,0.1)</f>
        <v>929.15</v>
      </c>
    </row>
    <row r="16" spans="1:9" x14ac:dyDescent="0.3">
      <c r="A16" t="s">
        <v>10</v>
      </c>
      <c r="B16" s="1">
        <f>STDEV(B4:B13)</f>
        <v>0.88191710368819687</v>
      </c>
      <c r="C16" s="1">
        <f t="shared" ref="C16:E16" si="1">STDEV(C4:C13)</f>
        <v>1.1559027256266468</v>
      </c>
      <c r="D16" s="1">
        <f t="shared" si="1"/>
        <v>0.91666666666666674</v>
      </c>
      <c r="E16" s="1">
        <f t="shared" si="1"/>
        <v>0.91666666666666674</v>
      </c>
      <c r="F16" s="1">
        <f>STDEV(F4:F13)</f>
        <v>1.9923464669691475</v>
      </c>
      <c r="G16" s="1">
        <f>STDEV(G4:G13)</f>
        <v>1.2920698295542872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Raquette 1</vt:lpstr>
      <vt:lpstr>Raquette 2</vt:lpstr>
      <vt:lpstr>Raquette 3</vt:lpstr>
      <vt:lpstr>Raquette 4</vt:lpstr>
      <vt:lpstr>Raquette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Belanger</dc:creator>
  <cp:lastModifiedBy>Manuel Belanger</cp:lastModifiedBy>
  <dcterms:created xsi:type="dcterms:W3CDTF">2026-04-25T13:33:21Z</dcterms:created>
  <dcterms:modified xsi:type="dcterms:W3CDTF">2026-05-03T12:33:55Z</dcterms:modified>
</cp:coreProperties>
</file>